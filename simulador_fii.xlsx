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Apoio" sheetId="2" state="visible" r:id="rId4"/>
  </sheets>
  <definedNames>
    <definedName function="false" hidden="false" name="anos" vbProcedure="false">Simulador!$C$15</definedName>
    <definedName function="false" hidden="false" name="aporte" vbProcedure="false">Simulador!$C$14</definedName>
    <definedName function="false" hidden="false" name="aporte_sugerido" vbProcedure="false">Simulador!$C$10</definedName>
    <definedName function="false" hidden="false" name="dividendo_mensal" vbProcedure="false">Simulador!$C$18</definedName>
    <definedName function="false" hidden="false" name="lista_perfis" vbProcedure="false">Apoio!$F$5:$F$7</definedName>
    <definedName function="false" hidden="false" name="patrimonio" vbProcedure="false">Simulador!$C$17</definedName>
    <definedName function="false" hidden="false" name="pct_sugestao" vbProcedure="false">Simulador!$C$9</definedName>
    <definedName function="false" hidden="false" name="perfil" vbProcedure="false">Simulador!$C$11</definedName>
    <definedName function="false" hidden="false" name="salario" vbProcedure="false">Simulador!$C$7</definedName>
    <definedName function="false" hidden="false" name="tabela_perfil" vbProcedure="false">Apoio!$A$5:$D$22</definedName>
    <definedName function="false" hidden="false" name="taxa_mensal" vbProcedure="false">Simulador!$C$8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<sst xmlns="http://schemas.openxmlformats.org/spreadsheetml/2006/main" count="87" uniqueCount="46">
  <si>
    <t xml:space="preserve">SIMULADOR DE FUNDOS IMOBILIÁRIOS</t>
  </si>
  <si>
    <t xml:space="preserve">Preencha as células amarelas (texto azul). As células cinzas são calculadas e não devem ser editadas.</t>
  </si>
  <si>
    <t xml:space="preserve">Configurações</t>
  </si>
  <si>
    <t xml:space="preserve">Salário mensal (R$)</t>
  </si>
  <si>
    <t xml:space="preserve">Rendimento mensal da carteira</t>
  </si>
  <si>
    <t xml:space="preserve">% do salário para aportar</t>
  </si>
  <si>
    <t xml:space="preserve">Aporte sugerido (R$)</t>
  </si>
  <si>
    <t xml:space="preserve">Perfil de investidor</t>
  </si>
  <si>
    <t xml:space="preserve">Moderado</t>
  </si>
  <si>
    <t xml:space="preserve">Simulação: as cinco perguntas</t>
  </si>
  <si>
    <t xml:space="preserve">1. Quanto investir por mês (R$)</t>
  </si>
  <si>
    <t xml:space="preserve">2. Por quantos anos</t>
  </si>
  <si>
    <t xml:space="preserve">3. Taxa de rendimento mensal</t>
  </si>
  <si>
    <t xml:space="preserve">4. Patrimônio acumulado (R$)</t>
  </si>
  <si>
    <t xml:space="preserve">5. Dividendos por mês (R$)</t>
  </si>
  <si>
    <t xml:space="preserve">Total aportado do próprio bolso (R$)</t>
  </si>
  <si>
    <t xml:space="preserve">Cenários de 2 a 30 anos</t>
  </si>
  <si>
    <t xml:space="preserve">Prazo (anos)</t>
  </si>
  <si>
    <t xml:space="preserve">Patrimônio com aporte informado</t>
  </si>
  <si>
    <t xml:space="preserve">Dividendos/mês (informado)</t>
  </si>
  <si>
    <t xml:space="preserve">Patrimônio com aporte sugerido</t>
  </si>
  <si>
    <t xml:space="preserve">Dividendos/mês (sugerido)</t>
  </si>
  <si>
    <t xml:space="preserve">Divisão do aporte conforme o perfil</t>
  </si>
  <si>
    <t xml:space="preserve">Tipo de fundo</t>
  </si>
  <si>
    <t xml:space="preserve">Percentual</t>
  </si>
  <si>
    <t xml:space="preserve">Aporte informado (R$)</t>
  </si>
  <si>
    <t xml:space="preserve">Total</t>
  </si>
  <si>
    <t xml:space="preserve">Premissas: salário, rendimento (0,8% ao mês), aporte (R$ 1.000) e perfis são valores de exemplo, não recomendação de investimento.</t>
  </si>
  <si>
    <t xml:space="preserve">Dividendos mensais = patrimônio acumulado x taxa mensal (premissa: o fundo distribui o rendimento mensal sobre o patrimônio).</t>
  </si>
  <si>
    <t xml:space="preserve">Aportes no fim de cada mês (tipo 0 do VF). Rendimento constante: a planilha não considera impostos, taxas nem variação das cotas.</t>
  </si>
  <si>
    <t xml:space="preserve">Apoio: tabela de perfis e tipos de fundo</t>
  </si>
  <si>
    <t xml:space="preserve">Percentuais de exemplo (valores didáticos), não são recomendação de investimento. Troque pelos seus, mantendo 100% por perfil.</t>
  </si>
  <si>
    <t xml:space="preserve">Chave (perfil+tipo)</t>
  </si>
  <si>
    <t xml:space="preserve">Perfil</t>
  </si>
  <si>
    <t xml:space="preserve">Soma</t>
  </si>
  <si>
    <t xml:space="preserve">Conferência</t>
  </si>
  <si>
    <t xml:space="preserve">Tipos de fundo</t>
  </si>
  <si>
    <t xml:space="preserve">Conservador</t>
  </si>
  <si>
    <t xml:space="preserve">Logística</t>
  </si>
  <si>
    <t xml:space="preserve">Lajes Corporativas</t>
  </si>
  <si>
    <t xml:space="preserve">Shoppings</t>
  </si>
  <si>
    <t xml:space="preserve">Arrojado</t>
  </si>
  <si>
    <t xml:space="preserve">Papel (CRI)</t>
  </si>
  <si>
    <t xml:space="preserve">Fundo de Fundos</t>
  </si>
  <si>
    <t xml:space="preserve">Desenvolvimento</t>
  </si>
  <si>
    <t xml:space="preserve">Legenda: texto azul = valor editável; fundo cinza = fórmula (não editar). A chave composta (coluna A) fica à esquerda porque o PROCV só busca na primeira coluna da tabela.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</si>
</sst>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0%"/>
    <numFmt numFmtId="167" formatCode="0%"/>
    <numFmt numFmtId="168" formatCode="0"/>
    <numFmt numFmtId="169" formatCode="0&quot; anos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Simulador!C30</c:f>
              <c:strCache>
                <c:ptCount val="1"/>
                <c:pt idx="0">
                  <c:v>Percentual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Simulador!$B$31:$B$36</c:f>
              <c:strCache>
                <c:ptCount val="6"/>
                <c:pt idx="0">
                  <c:v>Logística</c:v>
                </c:pt>
                <c:pt idx="1">
                  <c:v>Lajes Corporativas</c:v>
                </c:pt>
                <c:pt idx="2">
                  <c:v>Shoppings</c:v>
                </c:pt>
                <c:pt idx="3">
                  <c:v>Papel (CRI)</c:v>
                </c:pt>
                <c:pt idx="4">
                  <c:v>Fundo de Fundos</c:v>
                </c:pt>
                <c:pt idx="5">
                  <c:v>Desenvolvimento</c:v>
                </c:pt>
              </c:strCache>
            </c:strRef>
          </c:cat>
          <c:val>
            <c:numRef>
              <c:f>Simulador!$C$31:$C$36</c:f>
              <c:numCache>
                <c:formatCode>0%</c:formatCode>
                <c:ptCount val="6"/>
                <c:pt idx="0">
                  <c:v>0.2</c:v>
                </c:pt>
                <c:pt idx="1">
                  <c:v>0.15</c:v>
                </c:pt>
                <c:pt idx="2">
                  <c:v>0.2</c:v>
                </c:pt>
                <c:pt idx="3">
                  <c:v>0.2</c:v>
                </c:pt>
                <c:pt idx="4">
                  <c:v>0.15</c:v>
                </c:pt>
                <c:pt idx="5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5</xdr:col>
      <xdr:colOff>1038240</xdr:colOff>
      <xdr:row>18</xdr:row>
      <xdr:rowOff>72720</xdr:rowOff>
    </xdr:to>
    <xdr:graphicFrame>
      <xdr:nvGraphicFramePr>
        <xdr:cNvPr id="0" name="Chart 1"/>
        <xdr:cNvGraphicFramePr/>
      </xdr:nvGraphicFramePr>
      <xdr:xfrm>
        <a:off x="4370040" y="952560"/>
        <a:ext cx="413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22"/>
    <col collapsed="false" customWidth="true" hidden="false" outlineLevel="0" max="7" min="7" style="0" width="4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1"/>
      <c r="C2" s="1"/>
      <c r="D2" s="1"/>
      <c r="E2" s="1"/>
      <c r="F2" s="1"/>
    </row>
    <row r="3" customFormat="false" ht="15" hidden="false" customHeight="false" outlineLevel="0" collapsed="false">
      <c r="B3" s="1"/>
      <c r="C3" s="1"/>
      <c r="D3" s="1"/>
      <c r="E3" s="1"/>
      <c r="F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19.5" hidden="false" customHeight="true" outlineLevel="0" collapsed="false">
      <c r="B6" s="3" t="s">
        <v>2</v>
      </c>
      <c r="C6" s="3"/>
    </row>
    <row r="7" customFormat="false" ht="15" hidden="false" customHeight="false" outlineLevel="0" collapsed="false">
      <c r="B7" s="4" t="s">
        <v>3</v>
      </c>
      <c r="C7" s="5" t="n">
        <v>5000</v>
      </c>
    </row>
    <row r="8" customFormat="false" ht="15" hidden="false" customHeight="false" outlineLevel="0" collapsed="false">
      <c r="B8" s="4" t="s">
        <v>4</v>
      </c>
      <c r="C8" s="6" t="n">
        <v>0.008</v>
      </c>
    </row>
    <row r="9" customFormat="false" ht="15" hidden="false" customHeight="false" outlineLevel="0" collapsed="false">
      <c r="B9" s="4" t="s">
        <v>5</v>
      </c>
      <c r="C9" s="7" t="n">
        <v>0.3</v>
      </c>
    </row>
    <row r="10" customFormat="false" ht="15" hidden="false" customHeight="false" outlineLevel="0" collapsed="false">
      <c r="B10" s="4" t="s">
        <v>6</v>
      </c>
      <c r="C10" s="8" t="n">
        <f aca="false">salario*pct_sugestao</f>
        <v>1500</v>
      </c>
    </row>
    <row r="11" customFormat="false" ht="15" hidden="false" customHeight="false" outlineLevel="0" collapsed="false">
      <c r="B11" s="4" t="s">
        <v>7</v>
      </c>
      <c r="C11" s="9" t="s">
        <v>8</v>
      </c>
    </row>
    <row r="13" customFormat="false" ht="19.5" hidden="false" customHeight="true" outlineLevel="0" collapsed="false">
      <c r="B13" s="3" t="s">
        <v>9</v>
      </c>
      <c r="C13" s="3"/>
    </row>
    <row r="14" customFormat="false" ht="15" hidden="false" customHeight="false" outlineLevel="0" collapsed="false">
      <c r="B14" s="4" t="s">
        <v>10</v>
      </c>
      <c r="C14" s="5" t="n">
        <v>1000</v>
      </c>
    </row>
    <row r="15" customFormat="false" ht="15" hidden="false" customHeight="false" outlineLevel="0" collapsed="false">
      <c r="B15" s="4" t="s">
        <v>11</v>
      </c>
      <c r="C15" s="10" t="n">
        <v>10</v>
      </c>
    </row>
    <row r="16" customFormat="false" ht="15" hidden="false" customHeight="false" outlineLevel="0" collapsed="false">
      <c r="B16" s="4" t="s">
        <v>12</v>
      </c>
      <c r="C16" s="11" t="n">
        <f aca="false">taxa_mensal</f>
        <v>0.008</v>
      </c>
    </row>
    <row r="17" customFormat="false" ht="15" hidden="false" customHeight="false" outlineLevel="0" collapsed="false">
      <c r="B17" s="4" t="s">
        <v>13</v>
      </c>
      <c r="C17" s="12" t="n">
        <f aca="false">FV(taxa_mensal,anos*12,-aporte)</f>
        <v>200217.469409917</v>
      </c>
    </row>
    <row r="18" customFormat="false" ht="15" hidden="false" customHeight="false" outlineLevel="0" collapsed="false">
      <c r="B18" s="4" t="s">
        <v>14</v>
      </c>
      <c r="C18" s="12" t="n">
        <f aca="false">patrimonio*taxa_mensal</f>
        <v>1601.73975527933</v>
      </c>
    </row>
    <row r="19" customFormat="false" ht="15" hidden="false" customHeight="false" outlineLevel="0" collapsed="false">
      <c r="B19" s="4" t="s">
        <v>15</v>
      </c>
      <c r="C19" s="8" t="n">
        <f aca="false">aporte*anos*12</f>
        <v>120000</v>
      </c>
    </row>
    <row r="21" customFormat="false" ht="19.5" hidden="false" customHeight="true" outlineLevel="0" collapsed="false">
      <c r="B21" s="3" t="s">
        <v>16</v>
      </c>
      <c r="C21" s="3"/>
      <c r="D21" s="3"/>
      <c r="E21" s="3"/>
      <c r="F21" s="3"/>
    </row>
    <row r="22" customFormat="false" ht="30" hidden="false" customHeight="true" outlineLevel="0" collapsed="false">
      <c r="B22" s="13" t="s">
        <v>17</v>
      </c>
      <c r="C22" s="13" t="s">
        <v>18</v>
      </c>
      <c r="D22" s="13" t="s">
        <v>19</v>
      </c>
      <c r="E22" s="13" t="s">
        <v>20</v>
      </c>
      <c r="F22" s="13" t="s">
        <v>21</v>
      </c>
    </row>
    <row r="23" customFormat="false" ht="15" hidden="false" customHeight="false" outlineLevel="0" collapsed="false">
      <c r="B23" s="14" t="n">
        <v>2</v>
      </c>
      <c r="C23" s="8" t="n">
        <f aca="false">FV(taxa_mensal,$B23*12,-aporte)</f>
        <v>26343.1551111194</v>
      </c>
      <c r="D23" s="8" t="n">
        <f aca="false">C23*taxa_mensal</f>
        <v>210.745240888955</v>
      </c>
      <c r="E23" s="8" t="n">
        <f aca="false">FV(taxa_mensal,$B23*12,-aporte_sugerido)</f>
        <v>39514.7326666791</v>
      </c>
      <c r="F23" s="8" t="n">
        <f aca="false">E23*taxa_mensal</f>
        <v>316.117861333433</v>
      </c>
    </row>
    <row r="24" customFormat="false" ht="15" hidden="false" customHeight="false" outlineLevel="0" collapsed="false">
      <c r="B24" s="14" t="n">
        <v>5</v>
      </c>
      <c r="C24" s="8" t="n">
        <f aca="false">FV(taxa_mensal,$B24*12,-aporte)</f>
        <v>76623.8668318798</v>
      </c>
      <c r="D24" s="8" t="n">
        <f aca="false">C24*taxa_mensal</f>
        <v>612.990934655038</v>
      </c>
      <c r="E24" s="8" t="n">
        <f aca="false">FV(taxa_mensal,$B24*12,-aporte_sugerido)</f>
        <v>114935.80024782</v>
      </c>
      <c r="F24" s="8" t="n">
        <f aca="false">E24*taxa_mensal</f>
        <v>919.486401982557</v>
      </c>
    </row>
    <row r="25" customFormat="false" ht="15" hidden="false" customHeight="false" outlineLevel="0" collapsed="false">
      <c r="B25" s="14" t="n">
        <v>10</v>
      </c>
      <c r="C25" s="8" t="n">
        <f aca="false">FV(taxa_mensal,$B25*12,-aporte)</f>
        <v>200217.469409917</v>
      </c>
      <c r="D25" s="8" t="n">
        <f aca="false">C25*taxa_mensal</f>
        <v>1601.73975527933</v>
      </c>
      <c r="E25" s="8" t="n">
        <f aca="false">FV(taxa_mensal,$B25*12,-aporte_sugerido)</f>
        <v>300326.204114875</v>
      </c>
      <c r="F25" s="8" t="n">
        <f aca="false">E25*taxa_mensal</f>
        <v>2402.609632919</v>
      </c>
    </row>
    <row r="26" customFormat="false" ht="15" hidden="false" customHeight="false" outlineLevel="0" collapsed="false">
      <c r="B26" s="14" t="n">
        <v>20</v>
      </c>
      <c r="C26" s="8" t="n">
        <f aca="false">FV(taxa_mensal,$B26*12,-aporte)</f>
        <v>721131.219275121</v>
      </c>
      <c r="D26" s="8" t="n">
        <f aca="false">C26*taxa_mensal</f>
        <v>5769.04975420097</v>
      </c>
      <c r="E26" s="8" t="n">
        <f aca="false">FV(taxa_mensal,$B26*12,-aporte_sugerido)</f>
        <v>1081696.82891268</v>
      </c>
      <c r="F26" s="8" t="n">
        <f aca="false">E26*taxa_mensal</f>
        <v>8653.57463130145</v>
      </c>
    </row>
    <row r="27" customFormat="false" ht="15" hidden="false" customHeight="false" outlineLevel="0" collapsed="false">
      <c r="B27" s="14" t="n">
        <v>30</v>
      </c>
      <c r="C27" s="8" t="n">
        <f aca="false">FV(taxa_mensal,$B27*12,-aporte)</f>
        <v>2076413.23137106</v>
      </c>
      <c r="D27" s="8" t="n">
        <f aca="false">C27*taxa_mensal</f>
        <v>16611.3058509685</v>
      </c>
      <c r="E27" s="8" t="n">
        <f aca="false">FV(taxa_mensal,$B27*12,-aporte_sugerido)</f>
        <v>3114619.84705659</v>
      </c>
      <c r="F27" s="8" t="n">
        <f aca="false">E27*taxa_mensal</f>
        <v>24916.9587764527</v>
      </c>
    </row>
    <row r="29" customFormat="false" ht="19.5" hidden="false" customHeight="true" outlineLevel="0" collapsed="false">
      <c r="B29" s="3" t="s">
        <v>22</v>
      </c>
      <c r="C29" s="3"/>
      <c r="D29" s="3"/>
      <c r="E29" s="3"/>
    </row>
    <row r="30" customFormat="false" ht="15" hidden="false" customHeight="false" outlineLevel="0" collapsed="false">
      <c r="B30" s="15" t="s">
        <v>23</v>
      </c>
      <c r="C30" s="15" t="s">
        <v>24</v>
      </c>
      <c r="D30" s="15" t="s">
        <v>25</v>
      </c>
      <c r="E30" s="15" t="s">
        <v>6</v>
      </c>
    </row>
    <row r="31" customFormat="false" ht="15" hidden="false" customHeight="false" outlineLevel="0" collapsed="false">
      <c r="B31" s="16" t="str">
        <f aca="false">Apoio!J5</f>
        <v>Logística</v>
      </c>
      <c r="C31" s="17" t="n">
        <f aca="false">VLOOKUP(perfil&amp;B31,tabela_perfil,4,0)</f>
        <v>0.2</v>
      </c>
      <c r="D31" s="8" t="n">
        <f aca="false">C31*aporte</f>
        <v>200</v>
      </c>
      <c r="E31" s="8" t="n">
        <f aca="false">C31*aporte_sugerido</f>
        <v>300</v>
      </c>
    </row>
    <row r="32" customFormat="false" ht="15" hidden="false" customHeight="false" outlineLevel="0" collapsed="false">
      <c r="B32" s="16" t="str">
        <f aca="false">Apoio!J6</f>
        <v>Lajes Corporativas</v>
      </c>
      <c r="C32" s="17" t="n">
        <f aca="false">VLOOKUP(perfil&amp;B32,tabela_perfil,4,0)</f>
        <v>0.15</v>
      </c>
      <c r="D32" s="8" t="n">
        <f aca="false">C32*aporte</f>
        <v>150</v>
      </c>
      <c r="E32" s="8" t="n">
        <f aca="false">C32*aporte_sugerido</f>
        <v>225</v>
      </c>
    </row>
    <row r="33" customFormat="false" ht="15" hidden="false" customHeight="false" outlineLevel="0" collapsed="false">
      <c r="B33" s="16" t="str">
        <f aca="false">Apoio!J7</f>
        <v>Shoppings</v>
      </c>
      <c r="C33" s="17" t="n">
        <f aca="false">VLOOKUP(perfil&amp;B33,tabela_perfil,4,0)</f>
        <v>0.2</v>
      </c>
      <c r="D33" s="8" t="n">
        <f aca="false">C33*aporte</f>
        <v>200</v>
      </c>
      <c r="E33" s="8" t="n">
        <f aca="false">C33*aporte_sugerido</f>
        <v>300</v>
      </c>
    </row>
    <row r="34" customFormat="false" ht="15" hidden="false" customHeight="false" outlineLevel="0" collapsed="false">
      <c r="B34" s="16" t="str">
        <f aca="false">Apoio!J8</f>
        <v>Papel (CRI)</v>
      </c>
      <c r="C34" s="17" t="n">
        <f aca="false">VLOOKUP(perfil&amp;B34,tabela_perfil,4,0)</f>
        <v>0.2</v>
      </c>
      <c r="D34" s="8" t="n">
        <f aca="false">C34*aporte</f>
        <v>200</v>
      </c>
      <c r="E34" s="8" t="n">
        <f aca="false">C34*aporte_sugerido</f>
        <v>300</v>
      </c>
    </row>
    <row r="35" customFormat="false" ht="15" hidden="false" customHeight="false" outlineLevel="0" collapsed="false">
      <c r="B35" s="16" t="str">
        <f aca="false">Apoio!J9</f>
        <v>Fundo de Fundos</v>
      </c>
      <c r="C35" s="17" t="n">
        <f aca="false">VLOOKUP(perfil&amp;B35,tabela_perfil,4,0)</f>
        <v>0.15</v>
      </c>
      <c r="D35" s="8" t="n">
        <f aca="false">C35*aporte</f>
        <v>150</v>
      </c>
      <c r="E35" s="8" t="n">
        <f aca="false">C35*aporte_sugerido</f>
        <v>225</v>
      </c>
    </row>
    <row r="36" customFormat="false" ht="15" hidden="false" customHeight="false" outlineLevel="0" collapsed="false">
      <c r="B36" s="16" t="str">
        <f aca="false">Apoio!J10</f>
        <v>Desenvolvimento</v>
      </c>
      <c r="C36" s="17" t="n">
        <f aca="false">VLOOKUP(perfil&amp;B36,tabela_perfil,4,0)</f>
        <v>0.1</v>
      </c>
      <c r="D36" s="8" t="n">
        <f aca="false">C36*aporte</f>
        <v>100</v>
      </c>
      <c r="E36" s="8" t="n">
        <f aca="false">C36*aporte_sugerido</f>
        <v>150</v>
      </c>
    </row>
    <row r="37" customFormat="false" ht="15" hidden="false" customHeight="false" outlineLevel="0" collapsed="false">
      <c r="B37" s="18" t="s">
        <v>26</v>
      </c>
      <c r="C37" s="19" t="n">
        <f aca="false">SUM(C31:C36)</f>
        <v>1</v>
      </c>
      <c r="D37" s="12" t="n">
        <f aca="false">SUM(D31:D36)</f>
        <v>1000</v>
      </c>
      <c r="E37" s="12" t="n">
        <f aca="false">SUM(E31:E36)</f>
        <v>1500</v>
      </c>
    </row>
    <row r="39" customFormat="false" ht="15" hidden="false" customHeight="false" outlineLevel="0" collapsed="false">
      <c r="B39" s="20" t="s">
        <v>27</v>
      </c>
    </row>
    <row r="40" customFormat="false" ht="15" hidden="false" customHeight="false" outlineLevel="0" collapsed="false">
      <c r="B40" s="20" t="s">
        <v>28</v>
      </c>
    </row>
    <row r="41" customFormat="false" ht="15" hidden="false" customHeight="false" outlineLevel="0" collapsed="false">
      <c r="B41" s="20" t="s">
        <v>29</v>
      </c>
    </row>
  </sheetData>
  <mergeCells count="6">
    <mergeCell ref="B1:F3"/>
    <mergeCell ref="B4:F4"/>
    <mergeCell ref="B6:C6"/>
    <mergeCell ref="B13:C13"/>
    <mergeCell ref="B21:F21"/>
    <mergeCell ref="B29:E29"/>
  </mergeCells>
  <dataValidations count="1">
    <dataValidation allowBlank="false" error="Escolha um perfil da lista." errorStyle="stop" errorTitle="Perfil inválido" operator="between" showDropDown="false" showErrorMessage="true" showInputMessage="false" sqref="C11" type="list">
      <formula1>lista_perfis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3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21" t="s">
        <v>30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false" outlineLevel="0" collapsed="false">
      <c r="A3" s="20" t="s">
        <v>31</v>
      </c>
    </row>
    <row r="4" customFormat="false" ht="15" hidden="false" customHeight="false" outlineLevel="0" collapsed="false">
      <c r="A4" s="22" t="s">
        <v>32</v>
      </c>
      <c r="B4" s="22" t="s">
        <v>33</v>
      </c>
      <c r="C4" s="22" t="s">
        <v>23</v>
      </c>
      <c r="D4" s="22" t="s">
        <v>24</v>
      </c>
      <c r="F4" s="23" t="s">
        <v>33</v>
      </c>
      <c r="G4" s="23" t="s">
        <v>34</v>
      </c>
      <c r="H4" s="23" t="s">
        <v>35</v>
      </c>
      <c r="J4" s="23" t="s">
        <v>36</v>
      </c>
    </row>
    <row r="5" customFormat="false" ht="15" hidden="false" customHeight="false" outlineLevel="0" collapsed="false">
      <c r="A5" s="24" t="str">
        <f aca="false">B5&amp;C5</f>
        <v>ConservadorLogística</v>
      </c>
      <c r="B5" s="25" t="s">
        <v>37</v>
      </c>
      <c r="C5" s="25" t="s">
        <v>38</v>
      </c>
      <c r="D5" s="26" t="n">
        <v>0.25</v>
      </c>
      <c r="F5" s="25" t="s">
        <v>37</v>
      </c>
      <c r="G5" s="17" t="n">
        <f aca="false">SUMIF($B$5:$B$22,F5,$D$5:$D$22)</f>
        <v>1</v>
      </c>
      <c r="H5" s="27" t="str">
        <f aca="false">IF(ROUND(G5,6)=1,"OK","Revisar")</f>
        <v>OK</v>
      </c>
      <c r="J5" s="25" t="s">
        <v>38</v>
      </c>
    </row>
    <row r="6" customFormat="false" ht="15" hidden="false" customHeight="false" outlineLevel="0" collapsed="false">
      <c r="A6" s="24" t="str">
        <f aca="false">B6&amp;C6</f>
        <v>ConservadorLajes Corporativas</v>
      </c>
      <c r="B6" s="25" t="s">
        <v>37</v>
      </c>
      <c r="C6" s="25" t="s">
        <v>39</v>
      </c>
      <c r="D6" s="26" t="n">
        <v>0.2</v>
      </c>
      <c r="F6" s="25" t="s">
        <v>8</v>
      </c>
      <c r="G6" s="17" t="n">
        <f aca="false">SUMIF($B$5:$B$22,F6,$D$5:$D$22)</f>
        <v>1</v>
      </c>
      <c r="H6" s="27" t="str">
        <f aca="false">IF(ROUND(G6,6)=1,"OK","Revisar")</f>
        <v>OK</v>
      </c>
      <c r="J6" s="25" t="s">
        <v>39</v>
      </c>
    </row>
    <row r="7" customFormat="false" ht="15" hidden="false" customHeight="false" outlineLevel="0" collapsed="false">
      <c r="A7" s="24" t="str">
        <f aca="false">B7&amp;C7</f>
        <v>ConservadorShoppings</v>
      </c>
      <c r="B7" s="25" t="s">
        <v>37</v>
      </c>
      <c r="C7" s="25" t="s">
        <v>40</v>
      </c>
      <c r="D7" s="26" t="n">
        <v>0.15</v>
      </c>
      <c r="F7" s="25" t="s">
        <v>41</v>
      </c>
      <c r="G7" s="17" t="n">
        <f aca="false">SUMIF($B$5:$B$22,F7,$D$5:$D$22)</f>
        <v>1</v>
      </c>
      <c r="H7" s="27" t="str">
        <f aca="false">IF(ROUND(G7,6)=1,"OK","Revisar")</f>
        <v>OK</v>
      </c>
      <c r="J7" s="25" t="s">
        <v>40</v>
      </c>
    </row>
    <row r="8" customFormat="false" ht="15" hidden="false" customHeight="false" outlineLevel="0" collapsed="false">
      <c r="A8" s="24" t="str">
        <f aca="false">B8&amp;C8</f>
        <v>ConservadorPapel (CRI)</v>
      </c>
      <c r="B8" s="25" t="s">
        <v>37</v>
      </c>
      <c r="C8" s="25" t="s">
        <v>42</v>
      </c>
      <c r="D8" s="26" t="n">
        <v>0.25</v>
      </c>
      <c r="J8" s="25" t="s">
        <v>42</v>
      </c>
    </row>
    <row r="9" customFormat="false" ht="15" hidden="false" customHeight="false" outlineLevel="0" collapsed="false">
      <c r="A9" s="24" t="str">
        <f aca="false">B9&amp;C9</f>
        <v>ConservadorFundo de Fundos</v>
      </c>
      <c r="B9" s="25" t="s">
        <v>37</v>
      </c>
      <c r="C9" s="25" t="s">
        <v>43</v>
      </c>
      <c r="D9" s="26" t="n">
        <v>0.1</v>
      </c>
      <c r="J9" s="25" t="s">
        <v>43</v>
      </c>
    </row>
    <row r="10" customFormat="false" ht="15" hidden="false" customHeight="false" outlineLevel="0" collapsed="false">
      <c r="A10" s="24" t="str">
        <f aca="false">B10&amp;C10</f>
        <v>ConservadorDesenvolvimento</v>
      </c>
      <c r="B10" s="25" t="s">
        <v>37</v>
      </c>
      <c r="C10" s="25" t="s">
        <v>44</v>
      </c>
      <c r="D10" s="26" t="n">
        <v>0.05</v>
      </c>
      <c r="J10" s="25" t="s">
        <v>44</v>
      </c>
    </row>
    <row r="11" customFormat="false" ht="15" hidden="false" customHeight="false" outlineLevel="0" collapsed="false">
      <c r="A11" s="24" t="str">
        <f aca="false">B11&amp;C11</f>
        <v>ModeradoLogística</v>
      </c>
      <c r="B11" s="25" t="s">
        <v>8</v>
      </c>
      <c r="C11" s="25" t="s">
        <v>38</v>
      </c>
      <c r="D11" s="26" t="n">
        <v>0.2</v>
      </c>
    </row>
    <row r="12" customFormat="false" ht="15" hidden="false" customHeight="false" outlineLevel="0" collapsed="false">
      <c r="A12" s="24" t="str">
        <f aca="false">B12&amp;C12</f>
        <v>ModeradoLajes Corporativas</v>
      </c>
      <c r="B12" s="25" t="s">
        <v>8</v>
      </c>
      <c r="C12" s="25" t="s">
        <v>39</v>
      </c>
      <c r="D12" s="26" t="n">
        <v>0.15</v>
      </c>
    </row>
    <row r="13" customFormat="false" ht="15" hidden="false" customHeight="false" outlineLevel="0" collapsed="false">
      <c r="A13" s="24" t="str">
        <f aca="false">B13&amp;C13</f>
        <v>ModeradoShoppings</v>
      </c>
      <c r="B13" s="25" t="s">
        <v>8</v>
      </c>
      <c r="C13" s="25" t="s">
        <v>40</v>
      </c>
      <c r="D13" s="26" t="n">
        <v>0.2</v>
      </c>
    </row>
    <row r="14" customFormat="false" ht="15" hidden="false" customHeight="false" outlineLevel="0" collapsed="false">
      <c r="A14" s="24" t="str">
        <f aca="false">B14&amp;C14</f>
        <v>ModeradoPapel (CRI)</v>
      </c>
      <c r="B14" s="25" t="s">
        <v>8</v>
      </c>
      <c r="C14" s="25" t="s">
        <v>42</v>
      </c>
      <c r="D14" s="26" t="n">
        <v>0.2</v>
      </c>
    </row>
    <row r="15" customFormat="false" ht="15" hidden="false" customHeight="false" outlineLevel="0" collapsed="false">
      <c r="A15" s="24" t="str">
        <f aca="false">B15&amp;C15</f>
        <v>ModeradoFundo de Fundos</v>
      </c>
      <c r="B15" s="25" t="s">
        <v>8</v>
      </c>
      <c r="C15" s="25" t="s">
        <v>43</v>
      </c>
      <c r="D15" s="26" t="n">
        <v>0.15</v>
      </c>
    </row>
    <row r="16" customFormat="false" ht="15" hidden="false" customHeight="false" outlineLevel="0" collapsed="false">
      <c r="A16" s="24" t="str">
        <f aca="false">B16&amp;C16</f>
        <v>ModeradoDesenvolvimento</v>
      </c>
      <c r="B16" s="25" t="s">
        <v>8</v>
      </c>
      <c r="C16" s="25" t="s">
        <v>44</v>
      </c>
      <c r="D16" s="26" t="n">
        <v>0.1</v>
      </c>
    </row>
    <row r="17" customFormat="false" ht="15" hidden="false" customHeight="false" outlineLevel="0" collapsed="false">
      <c r="A17" s="24" t="str">
        <f aca="false">B17&amp;C17</f>
        <v>ArrojadoLogística</v>
      </c>
      <c r="B17" s="25" t="s">
        <v>41</v>
      </c>
      <c r="C17" s="25" t="s">
        <v>38</v>
      </c>
      <c r="D17" s="26" t="n">
        <v>0.15</v>
      </c>
    </row>
    <row r="18" customFormat="false" ht="15" hidden="false" customHeight="false" outlineLevel="0" collapsed="false">
      <c r="A18" s="24" t="str">
        <f aca="false">B18&amp;C18</f>
        <v>ArrojadoLajes Corporativas</v>
      </c>
      <c r="B18" s="25" t="s">
        <v>41</v>
      </c>
      <c r="C18" s="25" t="s">
        <v>39</v>
      </c>
      <c r="D18" s="26" t="n">
        <v>0.1</v>
      </c>
    </row>
    <row r="19" customFormat="false" ht="15" hidden="false" customHeight="false" outlineLevel="0" collapsed="false">
      <c r="A19" s="24" t="str">
        <f aca="false">B19&amp;C19</f>
        <v>ArrojadoShoppings</v>
      </c>
      <c r="B19" s="25" t="s">
        <v>41</v>
      </c>
      <c r="C19" s="25" t="s">
        <v>40</v>
      </c>
      <c r="D19" s="26" t="n">
        <v>0.2</v>
      </c>
    </row>
    <row r="20" customFormat="false" ht="15" hidden="false" customHeight="false" outlineLevel="0" collapsed="false">
      <c r="A20" s="24" t="str">
        <f aca="false">B20&amp;C20</f>
        <v>ArrojadoPapel (CRI)</v>
      </c>
      <c r="B20" s="25" t="s">
        <v>41</v>
      </c>
      <c r="C20" s="25" t="s">
        <v>42</v>
      </c>
      <c r="D20" s="26" t="n">
        <v>0.15</v>
      </c>
    </row>
    <row r="21" customFormat="false" ht="15" hidden="false" customHeight="false" outlineLevel="0" collapsed="false">
      <c r="A21" s="24" t="str">
        <f aca="false">B21&amp;C21</f>
        <v>ArrojadoFundo de Fundos</v>
      </c>
      <c r="B21" s="25" t="s">
        <v>41</v>
      </c>
      <c r="C21" s="25" t="s">
        <v>43</v>
      </c>
      <c r="D21" s="26" t="n">
        <v>0.15</v>
      </c>
    </row>
    <row r="22" customFormat="false" ht="15" hidden="false" customHeight="false" outlineLevel="0" collapsed="false">
      <c r="A22" s="24" t="str">
        <f aca="false">B22&amp;C22</f>
        <v>ArrojadoDesenvolvimento</v>
      </c>
      <c r="B22" s="25" t="s">
        <v>41</v>
      </c>
      <c r="C22" s="25" t="s">
        <v>44</v>
      </c>
      <c r="D22" s="26" t="n">
        <v>0.25</v>
      </c>
    </row>
    <row r="24" customFormat="false" ht="15" hidden="false" customHeight="false" outlineLevel="0" collapsed="false">
      <c r="A24" s="20" t="s">
        <v>45</v>
      </c>
    </row>
  </sheetData>
  <mergeCells count="1">
    <mergeCell ref="A1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2026-10-17T20:15:04Z</dcterms:created>
  <dc:creator>openpyxl</dc:creator>
  <dc:description/>
  <dc:language>en-US</dc:language>
  <cp:lastModifiedBy/>
  <dcterms:modified xsi:type="dcterms:W3CDTF">2026-10-17T20:15:05Z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